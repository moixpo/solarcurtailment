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x_\Dropbox\Python\Streamlit_pv_curtailment\"/>
    </mc:Choice>
  </mc:AlternateContent>
  <xr:revisionPtr revIDLastSave="0" documentId="13_ncr:1_{29E1785E-6DB3-415B-A438-EBB2782AA229}" xr6:coauthVersionLast="47" xr6:coauthVersionMax="47" xr10:uidLastSave="{00000000-0000-0000-0000-000000000000}"/>
  <bookViews>
    <workbookView xWindow="-98" yWindow="-98" windowWidth="21795" windowHeight="12975" xr2:uid="{6ED3774B-6F95-4885-B922-8EDA3D74A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J7" i="1"/>
  <c r="K7" i="1" s="1"/>
  <c r="J8" i="1"/>
  <c r="K8" i="1" s="1"/>
  <c r="J9" i="1"/>
  <c r="K9" i="1" s="1"/>
  <c r="J10" i="1"/>
  <c r="K10" i="1" s="1"/>
  <c r="J11" i="1"/>
  <c r="J12" i="1"/>
  <c r="J13" i="1"/>
  <c r="J14" i="1"/>
  <c r="J15" i="1"/>
  <c r="J16" i="1"/>
  <c r="K16" i="1" s="1"/>
  <c r="J6" i="1"/>
  <c r="K6" i="1"/>
  <c r="H7" i="1"/>
  <c r="H8" i="1"/>
  <c r="H9" i="1"/>
  <c r="H10" i="1"/>
  <c r="H11" i="1"/>
  <c r="H12" i="1"/>
  <c r="H13" i="1"/>
  <c r="H14" i="1"/>
  <c r="H15" i="1"/>
  <c r="H16" i="1"/>
  <c r="H6" i="1"/>
  <c r="D7" i="1"/>
  <c r="D8" i="1"/>
  <c r="D9" i="1"/>
  <c r="D10" i="1"/>
  <c r="D11" i="1"/>
  <c r="D12" i="1"/>
  <c r="D13" i="1"/>
  <c r="D14" i="1"/>
  <c r="D15" i="1"/>
  <c r="D16" i="1"/>
  <c r="D6" i="1"/>
  <c r="B7" i="1"/>
  <c r="B8" i="1"/>
  <c r="B9" i="1"/>
  <c r="B10" i="1"/>
  <c r="B11" i="1"/>
  <c r="B12" i="1"/>
  <c r="B13" i="1"/>
  <c r="B14" i="1"/>
  <c r="B15" i="1"/>
  <c r="B16" i="1"/>
  <c r="B6" i="1"/>
</calcChain>
</file>

<file path=xl/sharedStrings.xml><?xml version="1.0" encoding="utf-8"?>
<sst xmlns="http://schemas.openxmlformats.org/spreadsheetml/2006/main" count="11" uniqueCount="10">
  <si>
    <t>Effect of curtailement</t>
  </si>
  <si>
    <t>curtailement level</t>
  </si>
  <si>
    <t>Prod with clipping at inverter level</t>
  </si>
  <si>
    <t>Production loss with clipping at inverter level</t>
  </si>
  <si>
    <t xml:space="preserve">Injection loss with </t>
  </si>
  <si>
    <t>power level</t>
  </si>
  <si>
    <t>Injection with clipping at house introduction</t>
  </si>
  <si>
    <t>self-consumption</t>
  </si>
  <si>
    <t>Production with clipping at house introduction</t>
  </si>
  <si>
    <t>Production with clipping at inverter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</si>
</sst>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31333F"/>
      <name val="Avenir Next LT Pro"/>
      <family val="2"/>
    </font>
    <font>
      <sz val="10"/>
      <color theme="1"/>
      <name val="Avenir Next LT Pro"/>
      <family val="2"/>
    </font>
    <font>
      <sz val="10"/>
      <color rgb="FFFF2B2B"/>
      <name val="Avenir Next LT Pro"/>
      <family val="2"/>
    </font>
    <font>
      <b/>
      <sz val="12"/>
      <color rgb="FF31333F"/>
      <name val="Avenir Next LT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10" fontId="4" fillId="0" borderId="0" xfId="0" applyNumberFormat="1" applyFont="1" applyAlignment="1">
      <alignment vertical="center"/>
    </xf>
    <xf numFmtId="9" fontId="3" fillId="0" borderId="0" xfId="0" applyNumberFormat="1" applyFont="1"/>
    <xf numFmtId="0" fontId="5" fillId="0" borderId="0" xfId="0" applyFont="1" applyAlignment="1">
      <alignment vertical="center"/>
    </xf>
    <xf numFmtId="9" fontId="3" fillId="0" borderId="0" xfId="1" applyFont="1"/>
    <xf numFmtId="168" fontId="2" fillId="0" borderId="0" xfId="1" applyNumberFormat="1" applyFont="1" applyAlignment="1">
      <alignment vertic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/>
              <a:t>Effect of curtailement on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Sheet1!$C$5</c:f>
              <c:strCache>
                <c:ptCount val="1"/>
                <c:pt idx="0">
                  <c:v>Production with clipping at inverter level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Sheet1!$B$6:$B$16</c:f>
              <c:numCache>
                <c:formatCode>0%</c:formatCode>
                <c:ptCount val="11"/>
                <c:pt idx="0">
                  <c:v>0</c:v>
                </c:pt>
                <c:pt idx="1">
                  <c:v>9.9999999999999978E-2</c:v>
                </c:pt>
                <c:pt idx="2">
                  <c:v>0.19999999999999996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Sheet1!$C$6:$C$16</c:f>
              <c:numCache>
                <c:formatCode>General</c:formatCode>
                <c:ptCount val="11"/>
                <c:pt idx="0">
                  <c:v>12223</c:v>
                </c:pt>
                <c:pt idx="1">
                  <c:v>12220</c:v>
                </c:pt>
                <c:pt idx="2">
                  <c:v>12179</c:v>
                </c:pt>
                <c:pt idx="3">
                  <c:v>11915</c:v>
                </c:pt>
                <c:pt idx="4">
                  <c:v>11323</c:v>
                </c:pt>
                <c:pt idx="5">
                  <c:v>10385</c:v>
                </c:pt>
                <c:pt idx="6">
                  <c:v>9112</c:v>
                </c:pt>
                <c:pt idx="7">
                  <c:v>7530</c:v>
                </c:pt>
                <c:pt idx="8">
                  <c:v>5593</c:v>
                </c:pt>
                <c:pt idx="9">
                  <c:v>3207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32F-49A6-B936-4570A2CD5CC4}"/>
            </c:ext>
          </c:extLst>
        </c:ser>
        <c:ser>
          <c:idx val="0"/>
          <c:order val="1"/>
          <c:tx>
            <c:strRef>
              <c:f>Sheet1!$K$5</c:f>
              <c:strCache>
                <c:ptCount val="1"/>
                <c:pt idx="0">
                  <c:v>Production with clipping at house introduction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Sheet1!$B$6:$B$16</c:f>
              <c:numCache>
                <c:formatCode>0%</c:formatCode>
                <c:ptCount val="11"/>
                <c:pt idx="0">
                  <c:v>0</c:v>
                </c:pt>
                <c:pt idx="1">
                  <c:v>9.9999999999999978E-2</c:v>
                </c:pt>
                <c:pt idx="2">
                  <c:v>0.19999999999999996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Sheet1!$K$6:$K$16</c:f>
              <c:numCache>
                <c:formatCode>General</c:formatCode>
                <c:ptCount val="11"/>
                <c:pt idx="0">
                  <c:v>12223</c:v>
                </c:pt>
                <c:pt idx="1">
                  <c:v>12222</c:v>
                </c:pt>
                <c:pt idx="2">
                  <c:v>12196</c:v>
                </c:pt>
                <c:pt idx="3">
                  <c:v>11995</c:v>
                </c:pt>
                <c:pt idx="4">
                  <c:v>11527</c:v>
                </c:pt>
                <c:pt idx="5">
                  <c:v>10807</c:v>
                </c:pt>
                <c:pt idx="6">
                  <c:v>9791</c:v>
                </c:pt>
                <c:pt idx="7">
                  <c:v>8457</c:v>
                </c:pt>
                <c:pt idx="8">
                  <c:v>6790</c:v>
                </c:pt>
                <c:pt idx="9">
                  <c:v>4739</c:v>
                </c:pt>
                <c:pt idx="10">
                  <c:v>2150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32F-49A6-B936-4570A2CD5CC4}"/>
            </c:ext>
          </c:extLst>
        </c:ser>
        <c:ser>
          <c:idx val="2"/>
          <c:order val="2"/>
          <c:tx>
            <c:strRef>
              <c:f>Sheet1!$G$5</c:f>
              <c:strCache>
                <c:ptCount val="1"/>
                <c:pt idx="0">
                  <c:v>Injection with clipping at house introduction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Sheet1!$B$6:$B$16</c:f>
              <c:numCache>
                <c:formatCode>0%</c:formatCode>
                <c:ptCount val="11"/>
                <c:pt idx="0">
                  <c:v>0</c:v>
                </c:pt>
                <c:pt idx="1">
                  <c:v>9.9999999999999978E-2</c:v>
                </c:pt>
                <c:pt idx="2">
                  <c:v>0.19999999999999996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Sheet1!$G$6:$G$16</c:f>
              <c:numCache>
                <c:formatCode>General</c:formatCode>
                <c:ptCount val="11"/>
                <c:pt idx="0">
                  <c:v>10073</c:v>
                </c:pt>
                <c:pt idx="1">
                  <c:v>10072</c:v>
                </c:pt>
                <c:pt idx="2">
                  <c:v>10046</c:v>
                </c:pt>
                <c:pt idx="3">
                  <c:v>9845</c:v>
                </c:pt>
                <c:pt idx="4">
                  <c:v>9377</c:v>
                </c:pt>
                <c:pt idx="5">
                  <c:v>8657</c:v>
                </c:pt>
                <c:pt idx="6">
                  <c:v>7641</c:v>
                </c:pt>
                <c:pt idx="7">
                  <c:v>6307</c:v>
                </c:pt>
                <c:pt idx="8">
                  <c:v>4640</c:v>
                </c:pt>
                <c:pt idx="9">
                  <c:v>2589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32F-49A6-B936-4570A2CD5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979151"/>
        <c:axId val="2125995951"/>
      </c:scatterChart>
      <c:valAx>
        <c:axId val="21259791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n-US"/>
                  <a:t>CURTAILEMENT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n-CH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2125995951"/>
        <c:crosses val="autoZero"/>
        <c:crossBetween val="midCat"/>
      </c:valAx>
      <c:valAx>
        <c:axId val="21259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n-US" sz="900"/>
                  <a:t>PRODUCTION or injection left [kWh]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2125979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venir Next LT Pro" panose="020B05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2380</xdr:colOff>
      <xdr:row>17</xdr:row>
      <xdr:rowOff>28573</xdr:rowOff>
    </xdr:from>
    <xdr:to>
      <xdr:col>10</xdr:col>
      <xdr:colOff>292893</xdr:colOff>
      <xdr:row>35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488C5B-FAF1-3203-43FD-49D33F139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5E0B-5FA4-404A-ACA0-8F0D122F771A}">
  <dimension ref="A1:K16"/>
  <sheetViews>
    <sheetView tabSelected="1" zoomScale="70" zoomScaleNormal="70" workbookViewId="0">
      <selection activeCell="P25" sqref="P25"/>
    </sheetView>
  </sheetViews>
  <sheetFormatPr defaultRowHeight="13.15" x14ac:dyDescent="0.4"/>
  <cols>
    <col min="1" max="1" width="15.33203125" style="2" customWidth="1"/>
    <col min="2" max="2" width="10.19921875" style="2" bestFit="1" customWidth="1"/>
    <col min="3" max="3" width="18" style="2" bestFit="1" customWidth="1"/>
    <col min="4" max="4" width="13.46484375" style="2" customWidth="1"/>
    <col min="5" max="5" width="14.3984375" style="2" customWidth="1"/>
    <col min="6" max="6" width="9.06640625" style="2"/>
    <col min="7" max="7" width="12.86328125" style="2" customWidth="1"/>
    <col min="8" max="8" width="12.59765625" style="2" customWidth="1"/>
    <col min="9" max="10" width="9.06640625" style="2"/>
    <col min="11" max="11" width="12.19921875" style="2" customWidth="1"/>
    <col min="12" max="16384" width="9.06640625" style="2"/>
  </cols>
  <sheetData>
    <row r="1" spans="1:11" ht="15.4" x14ac:dyDescent="0.4">
      <c r="A1" s="5" t="s">
        <v>0</v>
      </c>
      <c r="B1" s="5"/>
    </row>
    <row r="2" spans="1:11" x14ac:dyDescent="0.4">
      <c r="C2" s="1"/>
      <c r="D2" s="1"/>
    </row>
    <row r="5" spans="1:11" s="8" customFormat="1" ht="78.75" x14ac:dyDescent="0.4">
      <c r="A5" s="8" t="s">
        <v>1</v>
      </c>
      <c r="B5" s="8" t="s">
        <v>5</v>
      </c>
      <c r="C5" s="9" t="s">
        <v>9</v>
      </c>
      <c r="D5" s="9" t="s">
        <v>2</v>
      </c>
      <c r="E5" s="8" t="s">
        <v>3</v>
      </c>
      <c r="G5" s="9" t="s">
        <v>6</v>
      </c>
      <c r="H5" s="9" t="s">
        <v>6</v>
      </c>
      <c r="I5" s="8" t="s">
        <v>4</v>
      </c>
      <c r="J5" s="8" t="s">
        <v>7</v>
      </c>
      <c r="K5" s="9" t="s">
        <v>8</v>
      </c>
    </row>
    <row r="6" spans="1:11" x14ac:dyDescent="0.4">
      <c r="A6" s="6">
        <v>1</v>
      </c>
      <c r="B6" s="6">
        <f>1-A6</f>
        <v>0</v>
      </c>
      <c r="C6" s="1">
        <v>12223</v>
      </c>
      <c r="D6" s="7">
        <f>C6/$C$6</f>
        <v>1</v>
      </c>
      <c r="E6" s="3">
        <v>0</v>
      </c>
      <c r="F6" s="3"/>
      <c r="G6" s="1">
        <v>10073</v>
      </c>
      <c r="H6" s="7">
        <f>G6/$G$6</f>
        <v>1</v>
      </c>
      <c r="I6" s="3">
        <v>0</v>
      </c>
      <c r="J6" s="2">
        <f>$C$6-$G$6</f>
        <v>2150</v>
      </c>
      <c r="K6" s="2">
        <f>J6+G6</f>
        <v>12223</v>
      </c>
    </row>
    <row r="7" spans="1:11" x14ac:dyDescent="0.4">
      <c r="A7" s="6">
        <v>0.9</v>
      </c>
      <c r="B7" s="6">
        <f t="shared" ref="B7:B16" si="0">1-A7</f>
        <v>9.9999999999999978E-2</v>
      </c>
      <c r="C7" s="1">
        <v>12220</v>
      </c>
      <c r="D7" s="7">
        <f t="shared" ref="D7:D16" si="1">C7/$C$6</f>
        <v>0.99975456107338623</v>
      </c>
      <c r="E7" s="3">
        <v>0</v>
      </c>
      <c r="F7" s="3"/>
      <c r="G7" s="1">
        <v>10072</v>
      </c>
      <c r="H7" s="7">
        <f t="shared" ref="H7:H16" si="2">G7/$G$6</f>
        <v>0.99990072470961977</v>
      </c>
      <c r="I7" s="3">
        <v>0</v>
      </c>
      <c r="J7" s="2">
        <f t="shared" ref="J7:J16" si="3">$C$6-$G$6</f>
        <v>2150</v>
      </c>
      <c r="K7" s="2">
        <f t="shared" ref="K7:K16" si="4">J7+G7</f>
        <v>12222</v>
      </c>
    </row>
    <row r="8" spans="1:11" x14ac:dyDescent="0.4">
      <c r="A8" s="6">
        <v>0.8</v>
      </c>
      <c r="B8" s="6">
        <f t="shared" si="0"/>
        <v>0.19999999999999996</v>
      </c>
      <c r="C8" s="1">
        <v>12179</v>
      </c>
      <c r="D8" s="7">
        <f t="shared" si="1"/>
        <v>0.99640022907633152</v>
      </c>
      <c r="E8" s="3">
        <v>-4.0000000000000001E-3</v>
      </c>
      <c r="F8" s="3"/>
      <c r="G8" s="1">
        <v>10046</v>
      </c>
      <c r="H8" s="7">
        <f t="shared" si="2"/>
        <v>0.99731956715973391</v>
      </c>
      <c r="I8" s="3">
        <v>-3.0000000000000001E-3</v>
      </c>
      <c r="J8" s="2">
        <f t="shared" si="3"/>
        <v>2150</v>
      </c>
      <c r="K8" s="2">
        <f t="shared" si="4"/>
        <v>12196</v>
      </c>
    </row>
    <row r="9" spans="1:11" x14ac:dyDescent="0.4">
      <c r="A9" s="6">
        <v>0.7</v>
      </c>
      <c r="B9" s="6">
        <f t="shared" si="0"/>
        <v>0.30000000000000004</v>
      </c>
      <c r="C9" s="1">
        <v>11915</v>
      </c>
      <c r="D9" s="7">
        <f t="shared" si="1"/>
        <v>0.97480160353432055</v>
      </c>
      <c r="E9" s="3">
        <v>-2.5000000000000001E-2</v>
      </c>
      <c r="F9" s="3"/>
      <c r="G9" s="1">
        <v>9845</v>
      </c>
      <c r="H9" s="7">
        <f t="shared" si="2"/>
        <v>0.97736523379330886</v>
      </c>
      <c r="I9" s="3">
        <v>-2.3E-2</v>
      </c>
      <c r="J9" s="2">
        <f t="shared" si="3"/>
        <v>2150</v>
      </c>
      <c r="K9" s="2">
        <f t="shared" si="4"/>
        <v>11995</v>
      </c>
    </row>
    <row r="10" spans="1:11" x14ac:dyDescent="0.4">
      <c r="A10" s="6">
        <v>0.6</v>
      </c>
      <c r="B10" s="6">
        <f t="shared" si="0"/>
        <v>0.4</v>
      </c>
      <c r="C10" s="1">
        <v>11323</v>
      </c>
      <c r="D10" s="7">
        <f t="shared" si="1"/>
        <v>0.92636832201587171</v>
      </c>
      <c r="E10" s="3">
        <v>-7.3999999999999996E-2</v>
      </c>
      <c r="F10" s="3"/>
      <c r="G10" s="1">
        <v>9377</v>
      </c>
      <c r="H10" s="7">
        <f t="shared" si="2"/>
        <v>0.93090439789536383</v>
      </c>
      <c r="I10" s="3">
        <v>-6.9000000000000006E-2</v>
      </c>
      <c r="J10" s="2">
        <f t="shared" si="3"/>
        <v>2150</v>
      </c>
      <c r="K10" s="2">
        <f t="shared" si="4"/>
        <v>11527</v>
      </c>
    </row>
    <row r="11" spans="1:11" x14ac:dyDescent="0.4">
      <c r="A11" s="6">
        <v>0.5</v>
      </c>
      <c r="B11" s="6">
        <f t="shared" si="0"/>
        <v>0.5</v>
      </c>
      <c r="C11" s="1">
        <v>10385</v>
      </c>
      <c r="D11" s="7">
        <f t="shared" si="1"/>
        <v>0.8496277509613025</v>
      </c>
      <c r="E11" s="3">
        <v>-0.15</v>
      </c>
      <c r="F11" s="3"/>
      <c r="G11" s="1">
        <v>8657</v>
      </c>
      <c r="H11" s="7">
        <f t="shared" si="2"/>
        <v>0.85942618882160227</v>
      </c>
      <c r="I11" s="3">
        <v>-0.14099999999999999</v>
      </c>
      <c r="J11" s="2">
        <f t="shared" si="3"/>
        <v>2150</v>
      </c>
      <c r="K11" s="2">
        <f t="shared" si="4"/>
        <v>10807</v>
      </c>
    </row>
    <row r="12" spans="1:11" x14ac:dyDescent="0.4">
      <c r="A12" s="6">
        <v>0.4</v>
      </c>
      <c r="B12" s="6">
        <f t="shared" si="0"/>
        <v>0.6</v>
      </c>
      <c r="C12" s="1">
        <v>9112</v>
      </c>
      <c r="D12" s="7">
        <f t="shared" si="1"/>
        <v>0.74547983310152988</v>
      </c>
      <c r="E12" s="3">
        <v>-0.254</v>
      </c>
      <c r="F12" s="3"/>
      <c r="G12" s="1">
        <v>7641</v>
      </c>
      <c r="H12" s="7">
        <f t="shared" si="2"/>
        <v>0.75856249379529439</v>
      </c>
      <c r="I12" s="3">
        <v>-0.24099999999999999</v>
      </c>
      <c r="J12" s="2">
        <f t="shared" si="3"/>
        <v>2150</v>
      </c>
      <c r="K12" s="2">
        <f t="shared" si="4"/>
        <v>9791</v>
      </c>
    </row>
    <row r="13" spans="1:11" x14ac:dyDescent="0.4">
      <c r="A13" s="6">
        <v>0.3</v>
      </c>
      <c r="B13" s="6">
        <f t="shared" si="0"/>
        <v>0.7</v>
      </c>
      <c r="C13" s="1">
        <v>7530</v>
      </c>
      <c r="D13" s="7">
        <f t="shared" si="1"/>
        <v>0.61605170580053992</v>
      </c>
      <c r="E13" s="3">
        <v>-0.38400000000000001</v>
      </c>
      <c r="F13" s="3"/>
      <c r="G13" s="1">
        <v>6307</v>
      </c>
      <c r="H13" s="7">
        <f t="shared" si="2"/>
        <v>0.62612925642807504</v>
      </c>
      <c r="I13" s="3">
        <v>-0.374</v>
      </c>
      <c r="J13" s="2">
        <f t="shared" si="3"/>
        <v>2150</v>
      </c>
      <c r="K13" s="2">
        <f t="shared" si="4"/>
        <v>8457</v>
      </c>
    </row>
    <row r="14" spans="1:11" x14ac:dyDescent="0.4">
      <c r="A14" s="6">
        <v>0.2</v>
      </c>
      <c r="B14" s="6">
        <f t="shared" si="0"/>
        <v>0.8</v>
      </c>
      <c r="C14" s="1">
        <v>5593</v>
      </c>
      <c r="D14" s="7">
        <f t="shared" si="1"/>
        <v>0.45757997218358831</v>
      </c>
      <c r="E14" s="3">
        <v>-0.54200000000000004</v>
      </c>
      <c r="F14" s="3"/>
      <c r="G14" s="1">
        <v>4640</v>
      </c>
      <c r="H14" s="7">
        <f t="shared" si="2"/>
        <v>0.46063734736424106</v>
      </c>
      <c r="I14" s="3">
        <v>-0.53900000000000003</v>
      </c>
      <c r="J14" s="2">
        <f t="shared" si="3"/>
        <v>2150</v>
      </c>
      <c r="K14" s="2">
        <f t="shared" si="4"/>
        <v>6790</v>
      </c>
    </row>
    <row r="15" spans="1:11" x14ac:dyDescent="0.4">
      <c r="A15" s="6">
        <v>0.1</v>
      </c>
      <c r="B15" s="6">
        <f t="shared" si="0"/>
        <v>0.9</v>
      </c>
      <c r="C15" s="1">
        <v>3207</v>
      </c>
      <c r="D15" s="7">
        <f t="shared" si="1"/>
        <v>0.26237421255011045</v>
      </c>
      <c r="E15" s="3">
        <v>-0.73799999999999999</v>
      </c>
      <c r="F15" s="3"/>
      <c r="G15" s="1">
        <v>2589</v>
      </c>
      <c r="H15" s="7">
        <f t="shared" si="2"/>
        <v>0.25702372679440089</v>
      </c>
      <c r="I15" s="3">
        <v>-0.74299999999999999</v>
      </c>
      <c r="J15" s="2">
        <f t="shared" si="3"/>
        <v>2150</v>
      </c>
      <c r="K15" s="2">
        <f t="shared" si="4"/>
        <v>4739</v>
      </c>
    </row>
    <row r="16" spans="1:11" x14ac:dyDescent="0.4">
      <c r="A16" s="6">
        <v>0</v>
      </c>
      <c r="B16" s="6">
        <f t="shared" si="0"/>
        <v>1</v>
      </c>
      <c r="C16" s="2">
        <v>0</v>
      </c>
      <c r="D16" s="7">
        <f t="shared" si="1"/>
        <v>0</v>
      </c>
      <c r="E16" s="4">
        <v>-1</v>
      </c>
      <c r="F16" s="4"/>
      <c r="G16" s="2">
        <v>0</v>
      </c>
      <c r="H16" s="7">
        <f t="shared" si="2"/>
        <v>0</v>
      </c>
      <c r="I16" s="4">
        <v>-1</v>
      </c>
      <c r="J16" s="2">
        <f t="shared" si="3"/>
        <v>2150</v>
      </c>
      <c r="K16" s="2">
        <f t="shared" si="4"/>
        <v>2150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Pierre-Olivier Moix</dc:creator>
  <cp:lastModifiedBy>Pierre-Olivier Moix</cp:lastModifiedBy>
  <dcterms:created xsi:type="dcterms:W3CDTF">2025-11-03T14:10:38Z</dcterms:created>
  <dcterms:modified xsi:type="dcterms:W3CDTF">2025-11-03T15:00:54Z</dcterms:modified>
</cp:coreProperties>
</file>